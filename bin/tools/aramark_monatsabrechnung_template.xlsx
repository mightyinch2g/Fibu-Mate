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UC\Sachkonten-Kreditoren\Team Hauptbuch - Einzelordner\Vorlagen Jäger\Aramark\"/>
    </mc:Choice>
  </mc:AlternateContent>
  <xr:revisionPtr revIDLastSave="0" documentId="13_ncr:1_{F386CC6A-3D2C-49F5-B690-36066C3D654A}" xr6:coauthVersionLast="47" xr6:coauthVersionMax="47" xr10:uidLastSave="{00000000-0000-0000-0000-000000000000}"/>
  <bookViews>
    <workbookView xWindow="-110" yWindow="-110" windowWidth="19420" windowHeight="11500" xr2:uid="{88F6B6CD-3A83-4EDF-97C9-299B771C5A2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9" i="1" l="1"/>
  <c r="E38" i="1"/>
  <c r="E36" i="1"/>
  <c r="E35" i="1"/>
  <c r="E33" i="1"/>
  <c r="E32" i="1"/>
  <c r="E17" i="1"/>
  <c r="F17" i="1"/>
  <c r="F16" i="1"/>
  <c r="G17" i="1"/>
  <c r="G16" i="1"/>
  <c r="H17" i="1"/>
  <c r="H16" i="1"/>
  <c r="I17" i="1"/>
  <c r="I16" i="1"/>
  <c r="D17" i="1"/>
  <c r="D16" i="1"/>
  <c r="J9" i="1" l="1"/>
  <c r="D9" i="1" s="1"/>
  <c r="J13" i="1"/>
  <c r="D13" i="1" s="1"/>
  <c r="J15" i="1"/>
  <c r="D15" i="1" s="1"/>
  <c r="E6" i="1" l="1"/>
  <c r="E14" i="1"/>
  <c r="E12" i="1"/>
  <c r="E7" i="1"/>
  <c r="E10" i="1"/>
  <c r="E11" i="1"/>
  <c r="E8" i="1"/>
  <c r="I14" i="1"/>
  <c r="I12" i="1"/>
  <c r="I8" i="1"/>
  <c r="I6" i="1"/>
  <c r="H14" i="1"/>
  <c r="H12" i="1"/>
  <c r="H8" i="1"/>
  <c r="H6" i="1"/>
  <c r="G14" i="1"/>
  <c r="G12" i="1"/>
  <c r="G8" i="1"/>
  <c r="G6" i="1"/>
  <c r="F14" i="1"/>
  <c r="F12" i="1"/>
  <c r="F8" i="1"/>
  <c r="F6" i="1"/>
  <c r="J11" i="1" l="1"/>
  <c r="D11" i="1"/>
  <c r="J12" i="1"/>
  <c r="D12" i="1" s="1"/>
  <c r="J14" i="1"/>
  <c r="D14" i="1" s="1"/>
  <c r="J6" i="1"/>
  <c r="D6" i="1" s="1"/>
  <c r="J8" i="1"/>
  <c r="D8" i="1" s="1"/>
  <c r="J10" i="1"/>
  <c r="D10" i="1" s="1"/>
  <c r="J7" i="1"/>
  <c r="D7" i="1" s="1"/>
  <c r="E20" i="1"/>
  <c r="H20" i="1"/>
  <c r="I20" i="1"/>
  <c r="G20" i="1"/>
  <c r="D20" i="1" l="1"/>
  <c r="D30" i="1" s="1"/>
  <c r="F20" i="1"/>
  <c r="J20" i="1" l="1"/>
</calcChain>
</file>

<file path=xl/sharedStrings.xml><?xml version="1.0" encoding="utf-8"?>
<sst xmlns="http://schemas.openxmlformats.org/spreadsheetml/2006/main" count="39" uniqueCount="32">
  <si>
    <t>Warengruppe</t>
  </si>
  <si>
    <t>Speisen HV</t>
  </si>
  <si>
    <t>Speisen ZV</t>
  </si>
  <si>
    <t>Heißgetränke</t>
  </si>
  <si>
    <t>Kaltgetränke</t>
  </si>
  <si>
    <t>Handelsware</t>
  </si>
  <si>
    <t>Steuersatz %</t>
  </si>
  <si>
    <t>Summe KST 19%</t>
  </si>
  <si>
    <t>Summe KST 7%</t>
  </si>
  <si>
    <t>Summe GESAMT</t>
  </si>
  <si>
    <t>#</t>
  </si>
  <si>
    <t>Milchmischgetränke</t>
  </si>
  <si>
    <t>Betrag UST</t>
  </si>
  <si>
    <t>Umsatz brutto</t>
  </si>
  <si>
    <t>Umsatz Kantine</t>
  </si>
  <si>
    <t>Sonstige Erlöse</t>
  </si>
  <si>
    <t>Umsatz Bülent</t>
  </si>
  <si>
    <t>Umsatz Bülent Bargeld</t>
  </si>
  <si>
    <t>Umsatz Chris</t>
  </si>
  <si>
    <t>Umsatz Chris Bargeld</t>
  </si>
  <si>
    <t>Die Summe 19.234,98€ von Kantine, Bülent Ceylan und Chris Tall (Bargeldlos) stimmen mit der Rechnung überein. Die Einzelaufstellungen könnt abweichen, da EC-Zahlungen und Keycard im System nicht auseinander gehalten werden können.</t>
  </si>
  <si>
    <t>130010 Durchlaufp. Aramark</t>
  </si>
  <si>
    <t>an</t>
  </si>
  <si>
    <t>831000 Erlöse Kantine</t>
  </si>
  <si>
    <t>AF</t>
  </si>
  <si>
    <t>A2</t>
  </si>
  <si>
    <t>831200 redblue Verpfl.erlöse</t>
  </si>
  <si>
    <t>Buchung 31.05.2026 - ARAMARK-Rechnung 10026299</t>
  </si>
  <si>
    <t>Erlöse 19%</t>
  </si>
  <si>
    <t>Erlöse 7%</t>
  </si>
  <si>
    <t>IA 1100341</t>
  </si>
  <si>
    <t>IA 1100264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</si>
</sst>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1" xfId="0" applyFill="1" applyBorder="1"/>
    <xf numFmtId="44" fontId="0" fillId="2" borderId="2" xfId="1" applyFont="1" applyFill="1" applyBorder="1"/>
    <xf numFmtId="44" fontId="0" fillId="3" borderId="2" xfId="1" applyFont="1" applyFill="1" applyBorder="1"/>
    <xf numFmtId="44" fontId="0" fillId="0" borderId="0" xfId="0" applyNumberFormat="1"/>
    <xf numFmtId="44" fontId="0" fillId="2" borderId="1" xfId="0" applyNumberFormat="1" applyFill="1" applyBorder="1"/>
    <xf numFmtId="44" fontId="0" fillId="2" borderId="5" xfId="0" applyNumberFormat="1" applyFill="1" applyBorder="1"/>
    <xf numFmtId="0" fontId="0" fillId="0" borderId="7" xfId="0" applyBorder="1"/>
    <xf numFmtId="0" fontId="0" fillId="2" borderId="7" xfId="0" applyFill="1" applyBorder="1"/>
    <xf numFmtId="0" fontId="0" fillId="2" borderId="8" xfId="0" applyFill="1" applyBorder="1"/>
    <xf numFmtId="0" fontId="0" fillId="3" borderId="7" xfId="0" applyFill="1" applyBorder="1"/>
    <xf numFmtId="0" fontId="3" fillId="2" borderId="9" xfId="0" applyFont="1" applyFill="1" applyBorder="1"/>
    <xf numFmtId="44" fontId="3" fillId="2" borderId="0" xfId="0" applyNumberFormat="1" applyFont="1" applyFill="1"/>
    <xf numFmtId="44" fontId="0" fillId="2" borderId="1" xfId="0" applyNumberFormat="1" applyFill="1" applyBorder="1" applyAlignment="1">
      <alignment horizontal="right" vertical="center"/>
    </xf>
    <xf numFmtId="44" fontId="0" fillId="2" borderId="5" xfId="0" applyNumberFormat="1" applyFill="1" applyBorder="1" applyAlignment="1">
      <alignment horizontal="right" vertical="center"/>
    </xf>
    <xf numFmtId="44" fontId="0" fillId="2" borderId="0" xfId="0" applyNumberFormat="1" applyFill="1" applyAlignment="1">
      <alignment horizontal="right" vertical="center"/>
    </xf>
    <xf numFmtId="44" fontId="0" fillId="2" borderId="2" xfId="0" applyNumberFormat="1" applyFill="1" applyBorder="1" applyAlignment="1">
      <alignment horizontal="right" vertical="center"/>
    </xf>
    <xf numFmtId="0" fontId="0" fillId="2" borderId="11" xfId="0" applyFill="1" applyBorder="1"/>
    <xf numFmtId="0" fontId="0" fillId="0" borderId="12" xfId="0" applyBorder="1" applyAlignment="1">
      <alignment horizontal="right"/>
    </xf>
    <xf numFmtId="0" fontId="1" fillId="0" borderId="13" xfId="0" applyFont="1" applyBorder="1"/>
    <xf numFmtId="0" fontId="1" fillId="0" borderId="14" xfId="0" applyFont="1" applyBorder="1"/>
    <xf numFmtId="0" fontId="1" fillId="0" borderId="10" xfId="0" applyFont="1" applyBorder="1"/>
    <xf numFmtId="0" fontId="1" fillId="0" borderId="15" xfId="0" applyFont="1" applyBorder="1"/>
    <xf numFmtId="0" fontId="1" fillId="0" borderId="17" xfId="0" applyFont="1" applyBorder="1"/>
    <xf numFmtId="9" fontId="0" fillId="0" borderId="0" xfId="0" applyNumberFormat="1"/>
    <xf numFmtId="9" fontId="1" fillId="0" borderId="16" xfId="0" applyNumberFormat="1" applyFont="1" applyBorder="1"/>
    <xf numFmtId="9" fontId="0" fillId="2" borderId="3" xfId="0" applyNumberFormat="1" applyFill="1" applyBorder="1"/>
    <xf numFmtId="9" fontId="0" fillId="0" borderId="4" xfId="0" applyNumberFormat="1" applyBorder="1"/>
    <xf numFmtId="9" fontId="0" fillId="2" borderId="4" xfId="0" applyNumberFormat="1" applyFill="1" applyBorder="1"/>
    <xf numFmtId="9" fontId="0" fillId="3" borderId="4" xfId="0" applyNumberFormat="1" applyFill="1" applyBorder="1"/>
    <xf numFmtId="9" fontId="0" fillId="2" borderId="6" xfId="0" applyNumberFormat="1" applyFill="1" applyBorder="1"/>
    <xf numFmtId="9" fontId="3" fillId="2" borderId="0" xfId="0" applyNumberFormat="1" applyFont="1" applyFill="1"/>
    <xf numFmtId="16" fontId="0" fillId="0" borderId="0" xfId="0" applyNumberFormat="1"/>
    <xf numFmtId="0" fontId="4" fillId="0" borderId="0" xfId="0" applyFont="1"/>
    <xf numFmtId="0" fontId="0" fillId="0" borderId="0" xfId="0" applyAlignment="1">
      <alignment vertical="top"/>
    </xf>
    <xf numFmtId="0" fontId="0" fillId="0" borderId="2" xfId="0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7D7E-03D1-4AC4-A586-FA4CA0CF9576}">
  <dimension ref="A1:L39"/>
  <sheetViews>
    <sheetView tabSelected="1" topLeftCell="A21" workbookViewId="0">
      <selection activeCell="E17" sqref="E17"/>
    </sheetView>
  </sheetViews>
  <sheetFormatPr baseColWidth="10" defaultRowHeight="14.5" x14ac:dyDescent="0.35"/>
  <cols>
    <col min="1" max="1" width="3.54296875" customWidth="1"/>
    <col min="2" max="2" width="18.08984375" bestFit="1" customWidth="1"/>
    <col min="3" max="3" width="12.54296875" style="26" bestFit="1" customWidth="1"/>
    <col min="4" max="4" width="13.6328125" bestFit="1" customWidth="1"/>
    <col min="5" max="5" width="15" bestFit="1" customWidth="1"/>
    <col min="6" max="6" width="13.90625" bestFit="1" customWidth="1"/>
    <col min="7" max="7" width="11.54296875" customWidth="1"/>
    <col min="8" max="8" width="16.1796875" customWidth="1"/>
    <col min="9" max="9" width="11.54296875" customWidth="1"/>
    <col min="10" max="10" width="11.54296875" bestFit="1" customWidth="1"/>
    <col min="12" max="12" width="12" bestFit="1" customWidth="1"/>
  </cols>
  <sheetData>
    <row r="1" spans="1:12" x14ac:dyDescent="0.35">
      <c r="E1" s="6"/>
      <c r="F1" s="6"/>
      <c r="G1" s="6"/>
      <c r="H1" s="6"/>
      <c r="I1" s="6"/>
    </row>
    <row r="4" spans="1:12" ht="15" thickBot="1" x14ac:dyDescent="0.4">
      <c r="F4" s="34">
        <v>46128</v>
      </c>
      <c r="H4" s="34">
        <v>46135</v>
      </c>
    </row>
    <row r="5" spans="1:12" ht="16.5" thickBot="1" x14ac:dyDescent="0.45">
      <c r="A5" s="20" t="s">
        <v>10</v>
      </c>
      <c r="B5" s="24" t="s">
        <v>0</v>
      </c>
      <c r="C5" s="27" t="s">
        <v>6</v>
      </c>
      <c r="D5" s="21" t="s">
        <v>13</v>
      </c>
      <c r="E5" s="22" t="s">
        <v>14</v>
      </c>
      <c r="F5" s="25" t="s">
        <v>17</v>
      </c>
      <c r="G5" s="25" t="s">
        <v>16</v>
      </c>
      <c r="H5" s="25" t="s">
        <v>19</v>
      </c>
      <c r="I5" s="25" t="s">
        <v>18</v>
      </c>
      <c r="J5" s="23" t="s">
        <v>12</v>
      </c>
    </row>
    <row r="6" spans="1:12" x14ac:dyDescent="0.35">
      <c r="A6" s="2">
        <v>1</v>
      </c>
      <c r="B6" s="19" t="s">
        <v>1</v>
      </c>
      <c r="C6" s="28">
        <v>7.0000000000000007E-2</v>
      </c>
      <c r="D6" s="4">
        <f>E6+F6+G6+H6+I6+J6</f>
        <v>11966.024000000001</v>
      </c>
      <c r="E6" s="4">
        <f>12.34+236.73+167.01+35.98+280.47+40.93+390.75+51.68+405.79+11.59+288.79+109.16+626.45+11.59+366.45+350.09+584.11+527.29+358.97+320.09+563.55+217.2</f>
        <v>5957.0100000000011</v>
      </c>
      <c r="F6" s="4">
        <f>115.89+258.88+447.66+374.77+228.04</f>
        <v>1425.24</v>
      </c>
      <c r="G6" s="4">
        <f>407.48+57.01+103.74+321.5+258.88+108.41</f>
        <v>1257.0200000000002</v>
      </c>
      <c r="H6" s="4">
        <f>114.02+235.51+319.63+269.16+265.42</f>
        <v>1203.74</v>
      </c>
      <c r="I6" s="4">
        <f>88.79+187.85+151.4+592.52+199.07+120.56</f>
        <v>1340.1899999999998</v>
      </c>
      <c r="J6" s="18">
        <f>(E6+F6+G6+H6+I6)*C6</f>
        <v>782.82400000000007</v>
      </c>
    </row>
    <row r="7" spans="1:12" x14ac:dyDescent="0.35">
      <c r="A7" s="2"/>
      <c r="B7" s="19" t="s">
        <v>1</v>
      </c>
      <c r="C7" s="28">
        <v>0.19</v>
      </c>
      <c r="D7" s="4">
        <f t="shared" ref="D7:D15" si="0">E7+F7+G7+H7+I7+J7</f>
        <v>1.4994000000000001</v>
      </c>
      <c r="E7" s="4">
        <f>1.26</f>
        <v>1.26</v>
      </c>
      <c r="F7" s="4"/>
      <c r="G7" s="4"/>
      <c r="H7" s="4"/>
      <c r="I7" s="4"/>
      <c r="J7" s="18">
        <f t="shared" ref="J7:J15" si="1">(E7+F7+G7+H7+I7)*C7</f>
        <v>0.2394</v>
      </c>
    </row>
    <row r="8" spans="1:12" x14ac:dyDescent="0.35">
      <c r="A8" s="1">
        <v>2</v>
      </c>
      <c r="B8" s="9" t="s">
        <v>2</v>
      </c>
      <c r="C8" s="29">
        <v>7.0000000000000007E-2</v>
      </c>
      <c r="D8" s="4">
        <f t="shared" si="0"/>
        <v>2501.125</v>
      </c>
      <c r="E8" s="5">
        <f>57.94+1.5+44.21+65.79+57.01+67.1+41.03+0.84+99.07+52.8+4.49+41.12+68.6+76.64+69.63+71.78+112.34+62.99</f>
        <v>994.87999999999988</v>
      </c>
      <c r="F8" s="5">
        <f>85.04+127.57+114.49+130.84+68.69</f>
        <v>526.63000000000011</v>
      </c>
      <c r="G8" s="5">
        <f>77.38+32.72+45.79+42.52+32.71+22.9</f>
        <v>254.02</v>
      </c>
      <c r="H8" s="5">
        <f>52.34+81.78+91.59+75.23+68.69</f>
        <v>369.63</v>
      </c>
      <c r="I8" s="5">
        <f>6.54+29.44+22.9+71.31+42.52+19.63</f>
        <v>192.34</v>
      </c>
      <c r="J8" s="18">
        <f t="shared" si="1"/>
        <v>163.62500000000003</v>
      </c>
    </row>
    <row r="9" spans="1:12" x14ac:dyDescent="0.35">
      <c r="A9" s="1"/>
      <c r="B9" s="9" t="s">
        <v>2</v>
      </c>
      <c r="C9" s="29">
        <v>0.19</v>
      </c>
      <c r="D9" s="4">
        <f t="shared" si="0"/>
        <v>0</v>
      </c>
      <c r="E9" s="5"/>
      <c r="F9" s="5"/>
      <c r="G9" s="5"/>
      <c r="H9" s="5"/>
      <c r="I9" s="5"/>
      <c r="J9" s="18">
        <f t="shared" si="1"/>
        <v>0</v>
      </c>
    </row>
    <row r="10" spans="1:12" x14ac:dyDescent="0.35">
      <c r="A10" s="3">
        <v>3</v>
      </c>
      <c r="B10" s="10" t="s">
        <v>3</v>
      </c>
      <c r="C10" s="30">
        <v>0.19</v>
      </c>
      <c r="D10" s="4">
        <f t="shared" si="0"/>
        <v>2364.8036999999999</v>
      </c>
      <c r="E10" s="4">
        <f>1.26+0.42+2.02+1.6+1.6+1.26+1.68+0.67+1976.72</f>
        <v>1987.23</v>
      </c>
      <c r="F10" s="4"/>
      <c r="G10" s="4"/>
      <c r="H10" s="4"/>
      <c r="I10" s="4"/>
      <c r="J10" s="18">
        <f t="shared" si="1"/>
        <v>377.57370000000003</v>
      </c>
    </row>
    <row r="11" spans="1:12" x14ac:dyDescent="0.35">
      <c r="A11" s="1"/>
      <c r="B11" s="9" t="s">
        <v>11</v>
      </c>
      <c r="C11" s="29">
        <v>7.0000000000000007E-2</v>
      </c>
      <c r="D11" s="4">
        <f t="shared" si="0"/>
        <v>81.598199999999991</v>
      </c>
      <c r="E11" s="5">
        <f>5.23+1.5+2.24+5.23+5.98+0.75+12.71+42.62</f>
        <v>76.259999999999991</v>
      </c>
      <c r="F11" s="5"/>
      <c r="G11" s="5"/>
      <c r="H11" s="5"/>
      <c r="I11" s="5"/>
      <c r="J11" s="18">
        <f t="shared" si="1"/>
        <v>5.3381999999999996</v>
      </c>
    </row>
    <row r="12" spans="1:12" x14ac:dyDescent="0.35">
      <c r="A12" s="3">
        <v>4</v>
      </c>
      <c r="B12" s="10" t="s">
        <v>4</v>
      </c>
      <c r="C12" s="30">
        <v>0.19</v>
      </c>
      <c r="D12" s="4">
        <f t="shared" si="0"/>
        <v>23147.9038</v>
      </c>
      <c r="E12" s="4">
        <f>4.71+4.45+1.18+2.77+1.18+8.32+16.05+2.35+11.76+2.35+10.76+3.19+21.01+0.92+15.13+13.03+22.69+17.14+10.92+14.12+16.55+4.12+534.96-0.5</f>
        <v>739.16000000000008</v>
      </c>
      <c r="F12" s="4">
        <f>1343.7+1441.6+1508.82+1465.55+1235.29</f>
        <v>6994.96</v>
      </c>
      <c r="G12" s="4">
        <f>15.88+502.1+377.31+605.88+642.44+413.03</f>
        <v>2556.6400000000003</v>
      </c>
      <c r="H12" s="4">
        <f>518.91+1255.46+1298.32+1425.21+993.7</f>
        <v>5491.5999999999995</v>
      </c>
      <c r="I12" s="4">
        <f>615.97+683.19+748.32+25.55+784.45+812.18</f>
        <v>3669.6600000000003</v>
      </c>
      <c r="J12" s="18">
        <f t="shared" si="1"/>
        <v>3695.8838000000001</v>
      </c>
    </row>
    <row r="13" spans="1:12" x14ac:dyDescent="0.35">
      <c r="A13" s="1">
        <v>4</v>
      </c>
      <c r="B13" s="9" t="s">
        <v>4</v>
      </c>
      <c r="C13" s="29">
        <v>7.0000000000000007E-2</v>
      </c>
      <c r="D13" s="4">
        <f t="shared" si="0"/>
        <v>0</v>
      </c>
      <c r="E13" s="5"/>
      <c r="F13" s="5"/>
      <c r="G13" s="5"/>
      <c r="H13" s="5"/>
      <c r="I13" s="5"/>
      <c r="J13" s="18">
        <f t="shared" si="1"/>
        <v>0</v>
      </c>
    </row>
    <row r="14" spans="1:12" x14ac:dyDescent="0.35">
      <c r="A14" s="3">
        <v>6</v>
      </c>
      <c r="B14" s="10" t="s">
        <v>5</v>
      </c>
      <c r="C14" s="30">
        <v>7.0000000000000007E-2</v>
      </c>
      <c r="D14" s="4">
        <f t="shared" si="0"/>
        <v>658.95950000000005</v>
      </c>
      <c r="E14" s="4">
        <f>1.68+0.84+0.84+0.84+1.68+0.84+0.84+0.84+2.52+5.23+42.62</f>
        <v>58.769999999999996</v>
      </c>
      <c r="F14" s="4">
        <f>70.09+32.71+53.74+49.07+35.05</f>
        <v>240.66000000000003</v>
      </c>
      <c r="G14" s="4">
        <f>1.68+14.02+4.67+4.67+14.02+7.01</f>
        <v>46.07</v>
      </c>
      <c r="H14" s="4">
        <f>37.38+37.38+25.7+46.73+18.69</f>
        <v>165.88</v>
      </c>
      <c r="I14" s="4">
        <f>4.67+11.68+32.71+1.68+23.36+30.37</f>
        <v>104.47</v>
      </c>
      <c r="J14" s="18">
        <f t="shared" si="1"/>
        <v>43.109500000000004</v>
      </c>
      <c r="L14" s="6"/>
    </row>
    <row r="15" spans="1:12" x14ac:dyDescent="0.35">
      <c r="A15" s="1"/>
      <c r="B15" s="12" t="s">
        <v>15</v>
      </c>
      <c r="C15" s="31">
        <v>0.19</v>
      </c>
      <c r="D15" s="4">
        <f t="shared" si="0"/>
        <v>0</v>
      </c>
      <c r="E15" s="5"/>
      <c r="F15" s="5"/>
      <c r="G15" s="5"/>
      <c r="H15" s="5"/>
      <c r="I15" s="5"/>
      <c r="J15" s="18">
        <f t="shared" si="1"/>
        <v>0</v>
      </c>
    </row>
    <row r="16" spans="1:12" x14ac:dyDescent="0.35">
      <c r="A16" s="37"/>
      <c r="B16" s="12" t="s">
        <v>28</v>
      </c>
      <c r="C16" s="31"/>
      <c r="D16" s="4">
        <f>D7+D9+D10+D12+D15</f>
        <v>25514.206900000001</v>
      </c>
      <c r="E16" s="5">
        <f>(E7+E9+E10+E12+E15)*1.19</f>
        <v>3245.9034999999999</v>
      </c>
      <c r="F16" s="5">
        <f>(F7+F9+F10+F12+F15)*1.19</f>
        <v>8324.0023999999994</v>
      </c>
      <c r="G16" s="5">
        <f>(G7+G9+G10+G12+G15)*1.19</f>
        <v>3042.4016000000001</v>
      </c>
      <c r="H16" s="5">
        <f>(H7+H9+H10+H12+H15)*1.19</f>
        <v>6535.003999999999</v>
      </c>
      <c r="I16" s="5">
        <f>(I7+I9+I10+I12+I15)*1.19</f>
        <v>4366.8954000000003</v>
      </c>
      <c r="J16" s="18"/>
    </row>
    <row r="17" spans="1:10" x14ac:dyDescent="0.35">
      <c r="A17" s="37"/>
      <c r="B17" s="12" t="s">
        <v>29</v>
      </c>
      <c r="C17" s="31"/>
      <c r="D17" s="4">
        <f>D6+D8+D11+D13+D14</f>
        <v>15207.706700000002</v>
      </c>
      <c r="E17" s="5">
        <f>(E6+E8+E11+E13+E14)*1.07</f>
        <v>7583.0044000000025</v>
      </c>
      <c r="F17" s="5">
        <f>(F6+F8+F11+F13+F14)*1.07</f>
        <v>2346.0071000000003</v>
      </c>
      <c r="G17" s="5">
        <f>(G6+G8+G11+G13+G14)*1.07</f>
        <v>1666.1077000000002</v>
      </c>
      <c r="H17" s="5">
        <f>(H6+H8+H11+H13+H14)*1.07</f>
        <v>1860.9975000000002</v>
      </c>
      <c r="I17" s="5">
        <f>(I6+I8+I11+I13+I14)*1.07</f>
        <v>1751.59</v>
      </c>
      <c r="J17" s="18"/>
    </row>
    <row r="18" spans="1:10" x14ac:dyDescent="0.35">
      <c r="A18" s="2"/>
      <c r="B18" s="10" t="s">
        <v>7</v>
      </c>
      <c r="C18" s="30">
        <v>0.19</v>
      </c>
      <c r="D18" s="7"/>
      <c r="E18" s="7"/>
      <c r="F18" s="7"/>
      <c r="G18" s="7"/>
      <c r="H18" s="7"/>
      <c r="I18" s="7"/>
      <c r="J18" s="15"/>
    </row>
    <row r="19" spans="1:10" ht="15" thickBot="1" x14ac:dyDescent="0.4">
      <c r="A19" s="3"/>
      <c r="B19" s="11" t="s">
        <v>8</v>
      </c>
      <c r="C19" s="32">
        <v>7.0000000000000007E-2</v>
      </c>
      <c r="D19" s="8"/>
      <c r="E19" s="8"/>
      <c r="F19" s="8"/>
      <c r="G19" s="8"/>
      <c r="H19" s="8"/>
      <c r="I19" s="8"/>
      <c r="J19" s="16"/>
    </row>
    <row r="20" spans="1:10" ht="15" thickTop="1" x14ac:dyDescent="0.35">
      <c r="A20" s="3"/>
      <c r="B20" s="13" t="s">
        <v>9</v>
      </c>
      <c r="C20" s="33"/>
      <c r="D20" s="14">
        <f>D6+D7+D8+D9+D10+D11+D12+D13+D14+D15</f>
        <v>40721.9136</v>
      </c>
      <c r="E20" s="14">
        <f>E6+E7+E8+E9+E10+E11+E12+E13+E14+E15</f>
        <v>9814.5700000000015</v>
      </c>
      <c r="F20" s="14">
        <f>F6+F8+F9+F10+F11+F12+F13+F14+F15</f>
        <v>9187.49</v>
      </c>
      <c r="G20" s="14">
        <f>G6+G8+G9+G10+G11+G12+G13+G14+G15</f>
        <v>4113.75</v>
      </c>
      <c r="H20" s="14">
        <f>H6+H8+H9+H10+H11+H12+H13+H14+H15</f>
        <v>7230.8499999999995</v>
      </c>
      <c r="I20" s="14">
        <f>I6+I8+I9+I10+I11+I12+I13+I14+I15</f>
        <v>5306.6600000000008</v>
      </c>
      <c r="J20" s="17">
        <f>SUM(J18:J19)</f>
        <v>0</v>
      </c>
    </row>
    <row r="22" spans="1:10" x14ac:dyDescent="0.35">
      <c r="E22" s="6"/>
    </row>
    <row r="23" spans="1:10" x14ac:dyDescent="0.35">
      <c r="B23" s="26" t="s">
        <v>20</v>
      </c>
    </row>
    <row r="28" spans="1:10" x14ac:dyDescent="0.35">
      <c r="B28" s="35" t="s">
        <v>27</v>
      </c>
      <c r="C28"/>
    </row>
    <row r="29" spans="1:10" x14ac:dyDescent="0.35">
      <c r="C29"/>
    </row>
    <row r="30" spans="1:10" x14ac:dyDescent="0.35">
      <c r="B30" s="36" t="s">
        <v>21</v>
      </c>
      <c r="C30"/>
      <c r="D30" s="6">
        <f>D20</f>
        <v>40721.9136</v>
      </c>
    </row>
    <row r="31" spans="1:10" x14ac:dyDescent="0.35">
      <c r="B31" t="s">
        <v>22</v>
      </c>
      <c r="C31"/>
    </row>
    <row r="32" spans="1:10" x14ac:dyDescent="0.35">
      <c r="B32" t="s">
        <v>23</v>
      </c>
      <c r="C32"/>
      <c r="E32" s="6">
        <f>E16</f>
        <v>3245.9034999999999</v>
      </c>
      <c r="F32" t="s">
        <v>24</v>
      </c>
    </row>
    <row r="33" spans="2:6" x14ac:dyDescent="0.35">
      <c r="C33"/>
      <c r="E33" s="6">
        <f>E17</f>
        <v>7583.0044000000025</v>
      </c>
      <c r="F33" t="s">
        <v>25</v>
      </c>
    </row>
    <row r="35" spans="2:6" x14ac:dyDescent="0.35">
      <c r="B35" t="s">
        <v>26</v>
      </c>
      <c r="D35" t="s">
        <v>31</v>
      </c>
      <c r="E35" s="6">
        <f>F16+G16</f>
        <v>11366.403999999999</v>
      </c>
      <c r="F35" t="s">
        <v>24</v>
      </c>
    </row>
    <row r="36" spans="2:6" x14ac:dyDescent="0.35">
      <c r="E36" s="6">
        <f>F17+G17</f>
        <v>4012.1148000000003</v>
      </c>
      <c r="F36" t="s">
        <v>25</v>
      </c>
    </row>
    <row r="38" spans="2:6" x14ac:dyDescent="0.35">
      <c r="D38" t="s">
        <v>30</v>
      </c>
      <c r="E38" s="6">
        <f>H16+I16</f>
        <v>10901.899399999998</v>
      </c>
      <c r="F38" t="s">
        <v>24</v>
      </c>
    </row>
    <row r="39" spans="2:6" x14ac:dyDescent="0.35">
      <c r="E39" s="6">
        <f>H17+I17</f>
        <v>3612.5875000000001</v>
      </c>
      <c r="F39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Intersport Deutschland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Knobloch, Nicole</dc:creator>
  <cp:lastModifiedBy>Knobloch, Nicole</cp:lastModifiedBy>
  <dcterms:created xsi:type="dcterms:W3CDTF">2026-04-08T06:42:46Z</dcterms:created>
  <dcterms:modified xsi:type="dcterms:W3CDTF">2026-06-09T13:50:00Z</dcterms:modified>
</cp:coreProperties>
</file>